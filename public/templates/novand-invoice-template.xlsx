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پیش‌فاکتور خام (قالب اصلی)" state="visible" r:id="rId4"/>
    <sheet sheetId="2" name="نمونه پرشده (راهنما)" state="visible" r:id="rId5"/>
  </sheets>
  <calcPr calcId="171027"/>
</workbook>
</file>

<file path=xl/sharedStrings.xml><?xml version="1.0" encoding="utf-8"?>
<sst xmlns="http://schemas.openxmlformats.org/spreadsheetml/2006/main" count="244" uniqueCount="82">
  <si>
    <t>نُـوَنــد | NOVAND</t>
  </si>
  <si>
    <t>پـیـش‌فـاکـتـور فـروش کـالا و خـدمـات</t>
  </si>
  <si>
    <t>شماره پیش‌فاکتور: NV-1403-_____</t>
  </si>
  <si>
    <t>راهکارهای جامع فناوری و زیرساخت مهندسی</t>
  </si>
  <si>
    <t>تاریخ صدور: ۱۴۰۳/____/____</t>
  </si>
  <si>
    <t>شبکه‌های سازمانی · فیبر نوری · مجازی‌سازی · امنیت و هوشمندسازی</t>
  </si>
  <si>
    <t>(سامانه رسمی برآورد فنی و مالی مهندسی نُوَند - مبالغ به ریال)</t>
  </si>
  <si>
    <t>مدت اعتبار: ۷ روز کاری از تاریخ صدور</t>
  </si>
  <si>
    <t>مشخصات فروشنده (مجری)</t>
  </si>
  <si>
    <t>مشخصات خریدار (کارفرما)</t>
  </si>
  <si>
    <t>نام حقوقی: شرکت مهندسی نُوَند (راهکارهای جامع فناوری و زیرساخت)</t>
  </si>
  <si>
    <t>نام کارفرما / شخص حقیقی یا حقوقی: ....................................................</t>
  </si>
  <si>
    <t>شناسه ملی: ۱۰۱۰۳۸۵۲۹۴۱  |  شماره ثبت: ۳۶۵۱۸۰  |  کد اقتصادی: ۴۱۱۳۵۸۹۷۱۴۶۵</t>
  </si>
  <si>
    <t>شناسه ملی / کد اقتصادی: ........................  |  کد ملی: ........................</t>
  </si>
  <si>
    <t>نشانی: تهران، سعادت‌آباد، بلوار مدیریت، خ علامه طباطبایی جنوبی، خ ۲۴ غربی، پلاک ۲۶، واحد ۱۷</t>
  </si>
  <si>
    <t>نشانی: ........................................................................................................</t>
  </si>
  <si>
    <t>تلفن: ۰۹۱۲۹۳۲۱۵۵۰ - ۰۹۱۹۶۹۱۸۷۵۸  |  ایمیل: novand.info@gmail.com  |  وب: novand-tech.com</t>
  </si>
  <si>
    <t>شماره تماس: ........................  |  کد پستی: ........................  |  شهر/استان: ........................</t>
  </si>
  <si>
    <t>ردیف</t>
  </si>
  <si>
    <t>کد کالا / خدمت</t>
  </si>
  <si>
    <t>شرح کالا یا خدمات فنی و مهندسی</t>
  </si>
  <si>
    <t>تعداد / مقدار</t>
  </si>
  <si>
    <t>واحد</t>
  </si>
  <si>
    <t>مبلغ واحد (ریال)</t>
  </si>
  <si>
    <t>مبلغ کل (ریال)</t>
  </si>
  <si>
    <t>تخفیف (ریال)</t>
  </si>
  <si>
    <t>مبلغ پس از تخفیف (ریال)</t>
  </si>
  <si>
    <t>ارزش افزوده (۱۰٪)</t>
  </si>
  <si>
    <t>مبلغ نهایی (ریال)</t>
  </si>
  <si>
    <t/>
  </si>
  <si>
    <t>شرایط و ضوابط پیش‌فاکتور و اطلاعات پرداخت</t>
  </si>
  <si>
    <t>جمع کل مبالغ اقلام (قبل از تخفیف):</t>
  </si>
  <si>
    <t>۱. مدت اعتبار این پیش‌فاکتور از تاریخ صدور به مدت ۷ روز کاری معتبر می‌باشد.</t>
  </si>
  <si>
    <t>جمع کل تخفیف اعطایی:</t>
  </si>
  <si>
    <t>۲. نحوه پرداخت: ۵۰٪ پیش‌پرداخت هنگام تایید پیش‌فاکتور، ۴۰٪ پس از تحویل اقلام و اتمام نصب، ۱۰٪ پس از تست و تحویل نهایی.</t>
  </si>
  <si>
    <t>مبلغ کل پس از کسر تخفیف:</t>
  </si>
  <si>
    <t>۳. تمامی اقلام دارای گارانتی معتبر شرکتی نُوَند و خدمات فنی دارای استاندارد مهندسی و پشتیبانی می‌باشند.</t>
  </si>
  <si>
    <t>مالیات و عوارض ارزش افزوده (۱۰٪):</t>
  </si>
  <si>
    <t>۴. شماره شبا جهت واریز: IR680120000000001234567890 بنام شرکت مهندسی نُوَند (بانک ملت)</t>
  </si>
  <si>
    <t>مبلغ نهایی قابل پرداخت (ریال):</t>
  </si>
  <si>
    <t>۵. هرگونه تغییر در مشخصات فنی یا حجم پروژه منوط به صدور الحاقیه یا پیش‌فاکتور اصلاحی خواهد بود.</t>
  </si>
  <si>
    <t>مبلغ به حروف:</t>
  </si>
  <si>
    <t>................................................................................................................</t>
  </si>
  <si>
    <t>مهر و امضای خریدار / کارفرما</t>
  </si>
  <si>
    <t>مهر و امضای فروشنده (شرکت مهندسی نُوَند)</t>
  </si>
  <si>
    <t xml:space="preserve">صحت کلیه اقلام، مشخصات فنی و مبالغ مندرج در این پیش‌فاکتور مورد تأیید است.
نام و سمت مجاز: ....................................................
تاریخ و امضاء:</t>
  </si>
  <si>
    <t xml:space="preserve">شرکت مهندسی نُوَند — واحد فروش و پروژه‌های یکپارچه
تضمین استانداردهای صنعتی و اصالت تجهیزات
کارشناس فروش: ....................................................
مهر رسمی شرکت و امضاء:</t>
  </si>
  <si>
    <t>شرکت مهندسی نُوَند | تهران، سعادت‌آباد، پلاک ۲۶، واحد ۱۷ | تلفن: ۰۹۱۲۹۳۲۱۵۵۰ - ۰۹۱۹۶۹۱۸۷۵۸ | وب‌سایت: novand-tech.com</t>
  </si>
  <si>
    <t>شماره پیش‌فاکتور: NV-1403-8821</t>
  </si>
  <si>
    <t>تاریخ صدور: ۱۴۰۳/۰۸/۱۵</t>
  </si>
  <si>
    <t>نام کارفرما / شرکت: هلدینگ فناوری و سرمایه‌گذاری پارس</t>
  </si>
  <si>
    <t>شناسه ملی / کد اقتصادی: ۱۰۳۲۰۱۵۸۷۴۲  |  کد ملی: ........................</t>
  </si>
  <si>
    <t>نشانی: تهران، خیابان ولیعصر، نرسیده به میدان ونک، برج نگین، طبقه ۸</t>
  </si>
  <si>
    <t>شماره تماس: ۰۲۱۸۸۶۵۲۱۰۰  |  کد پستی: ۱۹۹۱۸۳۴۵۲۱  |  شهر/استان: تهران</t>
  </si>
  <si>
    <t>NET-SW-48P</t>
  </si>
  <si>
    <t>سوئیچ شبکه مدیریتی سیسکو ۴۸ پورت گیگابیت لایه ۳</t>
  </si>
  <si>
    <t>دستگاه</t>
  </si>
  <si>
    <t>CAB-CAT6A-1</t>
  </si>
  <si>
    <t>کابل‌کشی ساخت‌یافته تمام مس Cat6A شیلددار لگراند</t>
  </si>
  <si>
    <t>متر</t>
  </si>
  <si>
    <t>RCK-42U-SRV</t>
  </si>
  <si>
    <t>رک سروری ۴۲ یونیت عمق ۱۰۰ با سیستم توزیع برق هوشمند (PDU)</t>
  </si>
  <si>
    <t>CCTV-4K-IP</t>
  </si>
  <si>
    <t>دوربین مداربسته تحت شبکه ۴K با دید در شب هوشمند و کدک H.265+</t>
  </si>
  <si>
    <t>عدد</t>
  </si>
  <si>
    <t>NVR-32CH-4K</t>
  </si>
  <si>
    <t>دستگاه ضبط ۳۲ کانال تحت شبکه NVR با ذخیره‌ساز RAID و پورت‌های دوگانه</t>
  </si>
  <si>
    <t>FBR-SPL-SRV</t>
  </si>
  <si>
    <t>اجرا و فیوژن اسپلیس فیبر نوری سینگل‌مود با تست و گواهی OTDR</t>
  </si>
  <si>
    <t>کور</t>
  </si>
  <si>
    <t>SMT-GW-ZIG</t>
  </si>
  <si>
    <t>کنترلر و درگاه مرکزی خانه هوشمند نُوَند با پروتکل Zigbee 3.0 / KNX</t>
  </si>
  <si>
    <t>UPS-10KVA-ON</t>
  </si>
  <si>
    <t>یو‌پی‌اس آنلاین ۱۰ کاوا صنعتی سه به تک با باتری بکاپ ۴ ساعت</t>
  </si>
  <si>
    <t>ست</t>
  </si>
  <si>
    <t>SRV-INST-CFG</t>
  </si>
  <si>
    <t>خدمات نصب، پیکربندی مجازی‌سازی VMware ESXi و پشتیبان‌گیری خودکار</t>
  </si>
  <si>
    <t>پروژه</t>
  </si>
  <si>
    <t>VOIP-IPBX-60</t>
  </si>
  <si>
    <t>راه‌اندازی سانترال ابری VoIP مبتنی بر استریسک با ۶۰ داخلی همزمان</t>
  </si>
  <si>
    <t>سرویس</t>
  </si>
  <si>
    <t>سه میلیارد و شصت و شش میلیون و صد و پنجاه هزار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</si>
</sst>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0F172A"/>
      <sz val="16"/>
      <name val="Vazirmatn"/>
    </font>
    <font>
      <b/>
      <color rgb="FF0F172A"/>
      <sz val="18"/>
      <name val="Vazirmatn"/>
    </font>
    <font>
      <b/>
      <color rgb="FF0F172A"/>
      <sz val="10"/>
      <name val="Vazirmatn"/>
    </font>
    <font>
      <b/>
      <color rgb="FF008F7A"/>
      <sz val="10"/>
      <name val="Vazirmatn"/>
    </font>
    <font>
      <color rgb="FF0F172A"/>
      <sz val="10"/>
      <name val="Vazirmatn"/>
    </font>
    <font>
      <color rgb="FF475569"/>
      <sz val="8"/>
      <name val="Vazirmatn"/>
    </font>
    <font>
      <color rgb="FF475569"/>
      <sz val="9"/>
      <name val="Vazirmatn"/>
    </font>
    <font>
      <b/>
      <color rgb="FF008F7A"/>
      <sz val="9"/>
      <name val="Vazirmatn"/>
    </font>
    <font>
      <b/>
      <color rgb="FFFFFFFF"/>
      <sz val="10"/>
      <name val="Vazirmatn"/>
    </font>
    <font>
      <b/>
      <color rgb="FF0F172A"/>
      <sz val="9.5"/>
      <name val="Vazirmatn"/>
    </font>
    <font>
      <color rgb="FF0F172A"/>
      <sz val="9"/>
      <name val="Vazirmatn"/>
    </font>
    <font>
      <color rgb="FF008F7A"/>
      <sz val="9"/>
      <name val="Vazirmatn"/>
    </font>
    <font>
      <b/>
      <color rgb="FFFFFFFF"/>
      <sz val="9.5"/>
      <name val="Vazirmatn"/>
    </font>
    <font>
      <b/>
      <color rgb="FF0F172A"/>
      <sz val="9"/>
      <name val="Vazirmatn"/>
    </font>
    <font>
      <color rgb="FF0F172A"/>
      <sz val="8.5"/>
      <name val="Vazirmatn"/>
    </font>
    <font>
      <b/>
      <color rgb="FF008F7A"/>
      <sz val="10.5"/>
      <name val="Vazirmatn"/>
    </font>
    <font>
      <b/>
      <color rgb="FF0F172A"/>
      <sz val="12"/>
      <name val="Vazirmatn"/>
    </font>
    <font>
      <b/>
      <color rgb="FF0F172A"/>
      <sz val="8.5"/>
      <name val="Vazirmatn"/>
    </font>
    <font>
      <color rgb="FF475569"/>
      <sz val="8.5"/>
      <name val="Vazirmatn"/>
    </font>
  </fonts>
  <fills count="8">
    <fill>
      <patternFill patternType="none"/>
    </fill>
    <fill>
      <patternFill patternType="gray125"/>
    </fill>
    <fill>
      <patternFill patternType="solid">
        <fgColor rgb="FF008F7A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6F7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left" vertical="center"/>
    </xf>
    <xf numFmtId="3" fontId="17" fillId="7" borderId="1" xfId="0" applyNumberFormat="1" applyFont="1" applyFill="1" applyBorder="1" applyAlignment="1">
      <alignment horizontal="right" vertical="center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 rightToLeft="1"/>
  </sheetViews>
  <sheetFormatPr defaultRowHeight="15" outlineLevelRow="0" outlineLevelCol="0" x14ac:dyDescent="55"/>
  <cols>
    <col min="1" max="1" width="7" customWidth="1"/>
    <col min="2" max="2" width="14" customWidth="1"/>
    <col min="3" max="3" width="34" customWidth="1"/>
    <col min="4" max="4" width="10" customWidth="1"/>
    <col min="5" max="5" width="11" customWidth="1"/>
    <col min="6" max="6" width="18" customWidth="1"/>
    <col min="7" max="7" width="20" customWidth="1"/>
    <col min="8" max="8" width="16" customWidth="1"/>
    <col min="9" max="9" width="20" customWidth="1"/>
    <col min="10" max="10" width="18" customWidth="1"/>
    <col min="11" max="11" width="22" customWidth="1"/>
  </cols>
  <sheetData>
    <row r="1" ht="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4" t="s">
        <v>2</v>
      </c>
      <c r="J2" s="4"/>
      <c r="K2" s="4"/>
    </row>
    <row r="3" ht="18" customHeight="1" spans="1:11" x14ac:dyDescent="0.25">
      <c r="A3" s="5" t="s">
        <v>3</v>
      </c>
      <c r="B3" s="5"/>
      <c r="C3" s="5"/>
      <c r="D3" s="3"/>
      <c r="E3" s="3"/>
      <c r="F3" s="3"/>
      <c r="G3" s="3"/>
      <c r="H3" s="3"/>
      <c r="I3" s="6" t="s">
        <v>4</v>
      </c>
      <c r="J3" s="6"/>
      <c r="K3" s="6"/>
    </row>
    <row r="4" ht="18" customHeight="1" spans="1:11" x14ac:dyDescent="0.25">
      <c r="A4" s="7" t="s">
        <v>5</v>
      </c>
      <c r="B4" s="7"/>
      <c r="C4" s="7"/>
      <c r="D4" s="8" t="s">
        <v>6</v>
      </c>
      <c r="E4" s="8"/>
      <c r="F4" s="8"/>
      <c r="G4" s="8"/>
      <c r="H4" s="8"/>
      <c r="I4" s="9" t="s">
        <v>7</v>
      </c>
      <c r="J4" s="9"/>
      <c r="K4" s="9"/>
    </row>
    <row r="5" ht="8" customHeight="1" x14ac:dyDescent="0.25"/>
    <row r="6" ht="22" customHeight="1" spans="1:11" x14ac:dyDescent="0.25">
      <c r="A6" s="10" t="s">
        <v>8</v>
      </c>
      <c r="B6" s="10"/>
      <c r="C6" s="10"/>
      <c r="D6" s="10"/>
      <c r="E6" s="10"/>
      <c r="F6" s="10"/>
      <c r="G6" s="10" t="s">
        <v>9</v>
      </c>
      <c r="H6" s="10"/>
      <c r="I6" s="10"/>
      <c r="J6" s="10"/>
      <c r="K6" s="10"/>
    </row>
    <row r="7" ht="19" customHeight="1" spans="1:11" x14ac:dyDescent="0.25">
      <c r="A7" s="11" t="s">
        <v>10</v>
      </c>
      <c r="B7" s="11"/>
      <c r="C7" s="11"/>
      <c r="D7" s="11"/>
      <c r="E7" s="11"/>
      <c r="F7" s="11"/>
      <c r="G7" s="12" t="s">
        <v>11</v>
      </c>
      <c r="H7" s="12"/>
      <c r="I7" s="12"/>
      <c r="J7" s="12"/>
      <c r="K7" s="12"/>
    </row>
    <row r="8" ht="19" customHeight="1" spans="1:11" x14ac:dyDescent="0.25">
      <c r="A8" s="13" t="s">
        <v>12</v>
      </c>
      <c r="B8" s="13"/>
      <c r="C8" s="13"/>
      <c r="D8" s="13"/>
      <c r="E8" s="13"/>
      <c r="F8" s="13"/>
      <c r="G8" s="14" t="s">
        <v>13</v>
      </c>
      <c r="H8" s="14"/>
      <c r="I8" s="14"/>
      <c r="J8" s="14"/>
      <c r="K8" s="14"/>
    </row>
    <row r="9" ht="19" customHeight="1" spans="1:11" x14ac:dyDescent="0.25">
      <c r="A9" s="15" t="s">
        <v>14</v>
      </c>
      <c r="B9" s="15"/>
      <c r="C9" s="15"/>
      <c r="D9" s="15"/>
      <c r="E9" s="15"/>
      <c r="F9" s="15"/>
      <c r="G9" s="16" t="s">
        <v>15</v>
      </c>
      <c r="H9" s="16"/>
      <c r="I9" s="16"/>
      <c r="J9" s="16"/>
      <c r="K9" s="16"/>
    </row>
    <row r="10" ht="19" customHeight="1" spans="1:11" x14ac:dyDescent="0.25">
      <c r="A10" s="17" t="s">
        <v>16</v>
      </c>
      <c r="B10" s="17"/>
      <c r="C10" s="17"/>
      <c r="D10" s="17"/>
      <c r="E10" s="17"/>
      <c r="F10" s="17"/>
      <c r="G10" s="14" t="s">
        <v>17</v>
      </c>
      <c r="H10" s="14"/>
      <c r="I10" s="14"/>
      <c r="J10" s="14"/>
      <c r="K10" s="14"/>
    </row>
    <row r="11" ht="8" customHeight="1" x14ac:dyDescent="0.25"/>
    <row r="12" ht="26" customHeight="1" spans="1:11" x14ac:dyDescent="0.25">
      <c r="A12" s="18" t="s">
        <v>18</v>
      </c>
      <c r="B12" s="18" t="s">
        <v>19</v>
      </c>
      <c r="C12" s="18" t="s">
        <v>20</v>
      </c>
      <c r="D12" s="18" t="s">
        <v>21</v>
      </c>
      <c r="E12" s="18" t="s">
        <v>22</v>
      </c>
      <c r="F12" s="18" t="s">
        <v>23</v>
      </c>
      <c r="G12" s="18" t="s">
        <v>24</v>
      </c>
      <c r="H12" s="18" t="s">
        <v>25</v>
      </c>
      <c r="I12" s="18" t="s">
        <v>26</v>
      </c>
      <c r="J12" s="18" t="s">
        <v>27</v>
      </c>
      <c r="K12" s="18" t="s">
        <v>28</v>
      </c>
    </row>
    <row r="13" ht="21" customHeight="1" spans="1:11" x14ac:dyDescent="0.25">
      <c r="A13" s="19">
        <v>1</v>
      </c>
      <c r="B13" s="19" t="s">
        <v>29</v>
      </c>
      <c r="C13" s="20" t="s">
        <v>29</v>
      </c>
      <c r="D13" s="21" t="s">
        <v>29</v>
      </c>
      <c r="E13" s="19" t="s">
        <v>29</v>
      </c>
      <c r="F13" s="22" t="s">
        <v>29</v>
      </c>
      <c r="G13" s="22">
        <f>IF(OR(D13="",F13=""),"",D13*F13)</f>
      </c>
      <c r="H13" s="22" t="s">
        <v>29</v>
      </c>
      <c r="I13" s="22">
        <f>IF(G13="","",G13-IF(H13="","",H13))</f>
      </c>
      <c r="J13" s="22">
        <f>IF(I13="","",ROUND(I13*0.1,0))</f>
      </c>
      <c r="K13" s="22">
        <f>IF(I13="","",I13+J13)</f>
      </c>
    </row>
    <row r="14" ht="21" customHeight="1" spans="1:11" x14ac:dyDescent="0.25">
      <c r="A14" s="23">
        <v>2</v>
      </c>
      <c r="B14" s="23" t="s">
        <v>29</v>
      </c>
      <c r="C14" s="16" t="s">
        <v>29</v>
      </c>
      <c r="D14" s="24" t="s">
        <v>29</v>
      </c>
      <c r="E14" s="23" t="s">
        <v>29</v>
      </c>
      <c r="F14" s="25" t="s">
        <v>29</v>
      </c>
      <c r="G14" s="25">
        <f>IF(OR(D14="",F14=""),"",D14*F14)</f>
      </c>
      <c r="H14" s="25" t="s">
        <v>29</v>
      </c>
      <c r="I14" s="25">
        <f>IF(G14="","",G14-IF(H14="","",H14))</f>
      </c>
      <c r="J14" s="25">
        <f>IF(I14="","",ROUND(I14*0.1,0))</f>
      </c>
      <c r="K14" s="25">
        <f>IF(I14="","",I14+J14)</f>
      </c>
    </row>
    <row r="15" ht="21" customHeight="1" spans="1:11" x14ac:dyDescent="0.25">
      <c r="A15" s="19">
        <v>3</v>
      </c>
      <c r="B15" s="19" t="s">
        <v>29</v>
      </c>
      <c r="C15" s="20" t="s">
        <v>29</v>
      </c>
      <c r="D15" s="21" t="s">
        <v>29</v>
      </c>
      <c r="E15" s="19" t="s">
        <v>29</v>
      </c>
      <c r="F15" s="22" t="s">
        <v>29</v>
      </c>
      <c r="G15" s="22">
        <f>IF(OR(D15="",F15=""),"",D15*F15)</f>
      </c>
      <c r="H15" s="22" t="s">
        <v>29</v>
      </c>
      <c r="I15" s="22">
        <f>IF(G15="","",G15-IF(H15="","",H15))</f>
      </c>
      <c r="J15" s="22">
        <f>IF(I15="","",ROUND(I15*0.1,0))</f>
      </c>
      <c r="K15" s="22">
        <f>IF(I15="","",I15+J15)</f>
      </c>
    </row>
    <row r="16" ht="21" customHeight="1" spans="1:11" x14ac:dyDescent="0.25">
      <c r="A16" s="23">
        <v>4</v>
      </c>
      <c r="B16" s="23" t="s">
        <v>29</v>
      </c>
      <c r="C16" s="16" t="s">
        <v>29</v>
      </c>
      <c r="D16" s="24" t="s">
        <v>29</v>
      </c>
      <c r="E16" s="23" t="s">
        <v>29</v>
      </c>
      <c r="F16" s="25" t="s">
        <v>29</v>
      </c>
      <c r="G16" s="25">
        <f>IF(OR(D16="",F16=""),"",D16*F16)</f>
      </c>
      <c r="H16" s="25" t="s">
        <v>29</v>
      </c>
      <c r="I16" s="25">
        <f>IF(G16="","",G16-IF(H16="","",H16))</f>
      </c>
      <c r="J16" s="25">
        <f>IF(I16="","",ROUND(I16*0.1,0))</f>
      </c>
      <c r="K16" s="25">
        <f>IF(I16="","",I16+J16)</f>
      </c>
    </row>
    <row r="17" ht="21" customHeight="1" spans="1:11" x14ac:dyDescent="0.25">
      <c r="A17" s="19">
        <v>5</v>
      </c>
      <c r="B17" s="19" t="s">
        <v>29</v>
      </c>
      <c r="C17" s="20" t="s">
        <v>29</v>
      </c>
      <c r="D17" s="21" t="s">
        <v>29</v>
      </c>
      <c r="E17" s="19" t="s">
        <v>29</v>
      </c>
      <c r="F17" s="22" t="s">
        <v>29</v>
      </c>
      <c r="G17" s="22">
        <f>IF(OR(D17="",F17=""),"",D17*F17)</f>
      </c>
      <c r="H17" s="22" t="s">
        <v>29</v>
      </c>
      <c r="I17" s="22">
        <f>IF(G17="","",G17-IF(H17="","",H17))</f>
      </c>
      <c r="J17" s="22">
        <f>IF(I17="","",ROUND(I17*0.1,0))</f>
      </c>
      <c r="K17" s="22">
        <f>IF(I17="","",I17+J17)</f>
      </c>
    </row>
    <row r="18" ht="21" customHeight="1" spans="1:11" x14ac:dyDescent="0.25">
      <c r="A18" s="23">
        <v>6</v>
      </c>
      <c r="B18" s="23" t="s">
        <v>29</v>
      </c>
      <c r="C18" s="16" t="s">
        <v>29</v>
      </c>
      <c r="D18" s="24" t="s">
        <v>29</v>
      </c>
      <c r="E18" s="23" t="s">
        <v>29</v>
      </c>
      <c r="F18" s="25" t="s">
        <v>29</v>
      </c>
      <c r="G18" s="25">
        <f>IF(OR(D18="",F18=""),"",D18*F18)</f>
      </c>
      <c r="H18" s="25" t="s">
        <v>29</v>
      </c>
      <c r="I18" s="25">
        <f>IF(G18="","",G18-IF(H18="","",H18))</f>
      </c>
      <c r="J18" s="25">
        <f>IF(I18="","",ROUND(I18*0.1,0))</f>
      </c>
      <c r="K18" s="25">
        <f>IF(I18="","",I18+J18)</f>
      </c>
    </row>
    <row r="19" ht="21" customHeight="1" spans="1:11" x14ac:dyDescent="0.25">
      <c r="A19" s="19">
        <v>7</v>
      </c>
      <c r="B19" s="19" t="s">
        <v>29</v>
      </c>
      <c r="C19" s="20" t="s">
        <v>29</v>
      </c>
      <c r="D19" s="21" t="s">
        <v>29</v>
      </c>
      <c r="E19" s="19" t="s">
        <v>29</v>
      </c>
      <c r="F19" s="22" t="s">
        <v>29</v>
      </c>
      <c r="G19" s="22">
        <f>IF(OR(D19="",F19=""),"",D19*F19)</f>
      </c>
      <c r="H19" s="22" t="s">
        <v>29</v>
      </c>
      <c r="I19" s="22">
        <f>IF(G19="","",G19-IF(H19="","",H19))</f>
      </c>
      <c r="J19" s="22">
        <f>IF(I19="","",ROUND(I19*0.1,0))</f>
      </c>
      <c r="K19" s="22">
        <f>IF(I19="","",I19+J19)</f>
      </c>
    </row>
    <row r="20" ht="21" customHeight="1" spans="1:11" x14ac:dyDescent="0.25">
      <c r="A20" s="23">
        <v>8</v>
      </c>
      <c r="B20" s="23" t="s">
        <v>29</v>
      </c>
      <c r="C20" s="16" t="s">
        <v>29</v>
      </c>
      <c r="D20" s="24" t="s">
        <v>29</v>
      </c>
      <c r="E20" s="23" t="s">
        <v>29</v>
      </c>
      <c r="F20" s="25" t="s">
        <v>29</v>
      </c>
      <c r="G20" s="25">
        <f>IF(OR(D20="",F20=""),"",D20*F20)</f>
      </c>
      <c r="H20" s="25" t="s">
        <v>29</v>
      </c>
      <c r="I20" s="25">
        <f>IF(G20="","",G20-IF(H20="","",H20))</f>
      </c>
      <c r="J20" s="25">
        <f>IF(I20="","",ROUND(I20*0.1,0))</f>
      </c>
      <c r="K20" s="25">
        <f>IF(I20="","",I20+J20)</f>
      </c>
    </row>
    <row r="21" ht="21" customHeight="1" spans="1:11" x14ac:dyDescent="0.25">
      <c r="A21" s="19">
        <v>9</v>
      </c>
      <c r="B21" s="19" t="s">
        <v>29</v>
      </c>
      <c r="C21" s="20" t="s">
        <v>29</v>
      </c>
      <c r="D21" s="21" t="s">
        <v>29</v>
      </c>
      <c r="E21" s="19" t="s">
        <v>29</v>
      </c>
      <c r="F21" s="22" t="s">
        <v>29</v>
      </c>
      <c r="G21" s="22">
        <f>IF(OR(D21="",F21=""),"",D21*F21)</f>
      </c>
      <c r="H21" s="22" t="s">
        <v>29</v>
      </c>
      <c r="I21" s="22">
        <f>IF(G21="","",G21-IF(H21="","",H21))</f>
      </c>
      <c r="J21" s="22">
        <f>IF(I21="","",ROUND(I21*0.1,0))</f>
      </c>
      <c r="K21" s="22">
        <f>IF(I21="","",I21+J21)</f>
      </c>
    </row>
    <row r="22" ht="21" customHeight="1" spans="1:11" x14ac:dyDescent="0.25">
      <c r="A22" s="23">
        <v>10</v>
      </c>
      <c r="B22" s="23" t="s">
        <v>29</v>
      </c>
      <c r="C22" s="16" t="s">
        <v>29</v>
      </c>
      <c r="D22" s="24" t="s">
        <v>29</v>
      </c>
      <c r="E22" s="23" t="s">
        <v>29</v>
      </c>
      <c r="F22" s="25" t="s">
        <v>29</v>
      </c>
      <c r="G22" s="25">
        <f>IF(OR(D22="",F22=""),"",D22*F22)</f>
      </c>
      <c r="H22" s="25" t="s">
        <v>29</v>
      </c>
      <c r="I22" s="25">
        <f>IF(G22="","",G22-IF(H22="","",H22))</f>
      </c>
      <c r="J22" s="25">
        <f>IF(I22="","",ROUND(I22*0.1,0))</f>
      </c>
      <c r="K22" s="25">
        <f>IF(I22="","",I22+J22)</f>
      </c>
    </row>
    <row r="23" ht="21" customHeight="1" spans="1:11" x14ac:dyDescent="0.25">
      <c r="A23" s="19">
        <v>11</v>
      </c>
      <c r="B23" s="19" t="s">
        <v>29</v>
      </c>
      <c r="C23" s="20" t="s">
        <v>29</v>
      </c>
      <c r="D23" s="21" t="s">
        <v>29</v>
      </c>
      <c r="E23" s="19" t="s">
        <v>29</v>
      </c>
      <c r="F23" s="22" t="s">
        <v>29</v>
      </c>
      <c r="G23" s="22">
        <f>IF(OR(D23="",F23=""),"",D23*F23)</f>
      </c>
      <c r="H23" s="22" t="s">
        <v>29</v>
      </c>
      <c r="I23" s="22">
        <f>IF(G23="","",G23-IF(H23="","",H23))</f>
      </c>
      <c r="J23" s="22">
        <f>IF(I23="","",ROUND(I23*0.1,0))</f>
      </c>
      <c r="K23" s="22">
        <f>IF(I23="","",I23+J23)</f>
      </c>
    </row>
    <row r="24" ht="21" customHeight="1" spans="1:11" x14ac:dyDescent="0.25">
      <c r="A24" s="23">
        <v>12</v>
      </c>
      <c r="B24" s="23" t="s">
        <v>29</v>
      </c>
      <c r="C24" s="16" t="s">
        <v>29</v>
      </c>
      <c r="D24" s="24" t="s">
        <v>29</v>
      </c>
      <c r="E24" s="23" t="s">
        <v>29</v>
      </c>
      <c r="F24" s="25" t="s">
        <v>29</v>
      </c>
      <c r="G24" s="25">
        <f>IF(OR(D24="",F24=""),"",D24*F24)</f>
      </c>
      <c r="H24" s="25" t="s">
        <v>29</v>
      </c>
      <c r="I24" s="25">
        <f>IF(G24="","",G24-IF(H24="","",H24))</f>
      </c>
      <c r="J24" s="25">
        <f>IF(I24="","",ROUND(I24*0.1,0))</f>
      </c>
      <c r="K24" s="25">
        <f>IF(I24="","",I24+J24)</f>
      </c>
    </row>
    <row r="25" ht="21" customHeight="1" spans="1:11" x14ac:dyDescent="0.25">
      <c r="A25" s="19">
        <v>13</v>
      </c>
      <c r="B25" s="19" t="s">
        <v>29</v>
      </c>
      <c r="C25" s="20" t="s">
        <v>29</v>
      </c>
      <c r="D25" s="21" t="s">
        <v>29</v>
      </c>
      <c r="E25" s="19" t="s">
        <v>29</v>
      </c>
      <c r="F25" s="22" t="s">
        <v>29</v>
      </c>
      <c r="G25" s="22">
        <f>IF(OR(D25="",F25=""),"",D25*F25)</f>
      </c>
      <c r="H25" s="22" t="s">
        <v>29</v>
      </c>
      <c r="I25" s="22">
        <f>IF(G25="","",G25-IF(H25="","",H25))</f>
      </c>
      <c r="J25" s="22">
        <f>IF(I25="","",ROUND(I25*0.1,0))</f>
      </c>
      <c r="K25" s="22">
        <f>IF(I25="","",I25+J25)</f>
      </c>
    </row>
    <row r="26" ht="21" customHeight="1" spans="1:11" x14ac:dyDescent="0.25">
      <c r="A26" s="23">
        <v>14</v>
      </c>
      <c r="B26" s="23" t="s">
        <v>29</v>
      </c>
      <c r="C26" s="16" t="s">
        <v>29</v>
      </c>
      <c r="D26" s="24" t="s">
        <v>29</v>
      </c>
      <c r="E26" s="23" t="s">
        <v>29</v>
      </c>
      <c r="F26" s="25" t="s">
        <v>29</v>
      </c>
      <c r="G26" s="25">
        <f>IF(OR(D26="",F26=""),"",D26*F26)</f>
      </c>
      <c r="H26" s="25" t="s">
        <v>29</v>
      </c>
      <c r="I26" s="25">
        <f>IF(G26="","",G26-IF(H26="","",H26))</f>
      </c>
      <c r="J26" s="25">
        <f>IF(I26="","",ROUND(I26*0.1,0))</f>
      </c>
      <c r="K26" s="25">
        <f>IF(I26="","",I26+J26)</f>
      </c>
    </row>
    <row r="27" ht="21" customHeight="1" spans="1:11" x14ac:dyDescent="0.25">
      <c r="A27" s="19">
        <v>15</v>
      </c>
      <c r="B27" s="19" t="s">
        <v>29</v>
      </c>
      <c r="C27" s="20" t="s">
        <v>29</v>
      </c>
      <c r="D27" s="21" t="s">
        <v>29</v>
      </c>
      <c r="E27" s="19" t="s">
        <v>29</v>
      </c>
      <c r="F27" s="22" t="s">
        <v>29</v>
      </c>
      <c r="G27" s="22">
        <f>IF(OR(D27="",F27=""),"",D27*F27)</f>
      </c>
      <c r="H27" s="22" t="s">
        <v>29</v>
      </c>
      <c r="I27" s="22">
        <f>IF(G27="","",G27-IF(H27="","",H27))</f>
      </c>
      <c r="J27" s="22">
        <f>IF(I27="","",ROUND(I27*0.1,0))</f>
      </c>
      <c r="K27" s="22">
        <f>IF(I27="","",I27+J27)</f>
      </c>
    </row>
    <row r="28" ht="20" customHeight="1" spans="1:11" x14ac:dyDescent="0.25">
      <c r="A28" s="26" t="s">
        <v>30</v>
      </c>
      <c r="B28" s="26"/>
      <c r="C28" s="26"/>
      <c r="D28" s="26"/>
      <c r="E28" s="26"/>
      <c r="F28" s="26"/>
      <c r="G28" s="27" t="s">
        <v>31</v>
      </c>
      <c r="H28" s="27"/>
      <c r="I28" s="27"/>
      <c r="J28" s="28">
        <f>=SUM(G13:G27)</f>
      </c>
      <c r="K28" s="28"/>
    </row>
    <row r="29" ht="20" customHeight="1" spans="1:11" x14ac:dyDescent="0.25">
      <c r="A29" s="29" t="s">
        <v>32</v>
      </c>
      <c r="B29" s="29"/>
      <c r="C29" s="29"/>
      <c r="D29" s="29"/>
      <c r="E29" s="29"/>
      <c r="F29" s="29"/>
      <c r="G29" s="27" t="s">
        <v>33</v>
      </c>
      <c r="H29" s="27"/>
      <c r="I29" s="27"/>
      <c r="J29" s="28">
        <f>=SUM(H13:H27)</f>
      </c>
      <c r="K29" s="28"/>
    </row>
    <row r="30" ht="20" customHeight="1" spans="1:11" x14ac:dyDescent="0.25">
      <c r="A30" s="29" t="s">
        <v>34</v>
      </c>
      <c r="B30" s="29"/>
      <c r="C30" s="29"/>
      <c r="D30" s="29"/>
      <c r="E30" s="29"/>
      <c r="F30" s="29"/>
      <c r="G30" s="27" t="s">
        <v>35</v>
      </c>
      <c r="H30" s="27"/>
      <c r="I30" s="27"/>
      <c r="J30" s="28">
        <f>=SUM(I13:I27)</f>
      </c>
      <c r="K30" s="28"/>
    </row>
    <row r="31" ht="20" customHeight="1" spans="1:11" x14ac:dyDescent="0.25">
      <c r="A31" s="29" t="s">
        <v>36</v>
      </c>
      <c r="B31" s="29"/>
      <c r="C31" s="29"/>
      <c r="D31" s="29"/>
      <c r="E31" s="29"/>
      <c r="F31" s="29"/>
      <c r="G31" s="27" t="s">
        <v>37</v>
      </c>
      <c r="H31" s="27"/>
      <c r="I31" s="27"/>
      <c r="J31" s="28">
        <f>=SUM(J13:J27)</f>
      </c>
      <c r="K31" s="28"/>
    </row>
    <row r="32" ht="24" customHeight="1" spans="1:11" x14ac:dyDescent="0.25">
      <c r="A32" s="29" t="s">
        <v>38</v>
      </c>
      <c r="B32" s="29"/>
      <c r="C32" s="29"/>
      <c r="D32" s="29"/>
      <c r="E32" s="29"/>
      <c r="F32" s="29"/>
      <c r="G32" s="30" t="s">
        <v>39</v>
      </c>
      <c r="H32" s="30"/>
      <c r="I32" s="30"/>
      <c r="J32" s="31">
        <f>=SUM(K13:K27)</f>
      </c>
      <c r="K32" s="31"/>
    </row>
    <row r="33" ht="20" customHeight="1" spans="1:11" x14ac:dyDescent="0.25">
      <c r="A33" s="29" t="s">
        <v>40</v>
      </c>
      <c r="B33" s="29"/>
      <c r="C33" s="29"/>
      <c r="D33" s="29"/>
      <c r="E33" s="29"/>
      <c r="F33" s="29"/>
      <c r="G33" s="27" t="s">
        <v>41</v>
      </c>
      <c r="H33" s="27"/>
      <c r="I33" s="32" t="s">
        <v>42</v>
      </c>
      <c r="J33" s="32"/>
      <c r="K33" s="32"/>
    </row>
    <row r="34" ht="10" customHeight="1" x14ac:dyDescent="0.25"/>
    <row r="35" ht="20" customHeight="1" spans="1:11" x14ac:dyDescent="0.25">
      <c r="A35" s="26" t="s">
        <v>43</v>
      </c>
      <c r="B35" s="26"/>
      <c r="C35" s="26"/>
      <c r="D35" s="26"/>
      <c r="E35" s="26"/>
      <c r="G35" s="26" t="s">
        <v>44</v>
      </c>
      <c r="H35" s="26"/>
      <c r="I35" s="26"/>
      <c r="J35" s="26"/>
      <c r="K35" s="26"/>
    </row>
    <row r="36" ht="18" customHeight="1" spans="1:11" x14ac:dyDescent="0.25">
      <c r="A36" s="33" t="s">
        <v>45</v>
      </c>
      <c r="B36" s="33"/>
      <c r="C36" s="33"/>
      <c r="D36" s="33"/>
      <c r="E36" s="33"/>
      <c r="G36" s="33" t="s">
        <v>46</v>
      </c>
      <c r="H36" s="33"/>
      <c r="I36" s="33"/>
      <c r="J36" s="33"/>
      <c r="K36" s="33"/>
    </row>
    <row r="37" ht="18" customHeight="1" spans="1:11" x14ac:dyDescent="0.25">
      <c r="A37" s="33"/>
      <c r="B37" s="33"/>
      <c r="C37" s="33"/>
      <c r="D37" s="33"/>
      <c r="E37" s="33"/>
      <c r="G37" s="33"/>
      <c r="H37" s="33"/>
      <c r="I37" s="33"/>
      <c r="J37" s="33"/>
      <c r="K37" s="33"/>
    </row>
    <row r="38" ht="18" customHeight="1" spans="1:11" x14ac:dyDescent="0.25">
      <c r="A38" s="33"/>
      <c r="B38" s="33"/>
      <c r="C38" s="33"/>
      <c r="D38" s="33"/>
      <c r="E38" s="33"/>
      <c r="G38" s="33"/>
      <c r="H38" s="33"/>
      <c r="I38" s="33"/>
      <c r="J38" s="33"/>
      <c r="K38" s="33"/>
    </row>
    <row r="39" ht="18" customHeight="1" spans="1:11" x14ac:dyDescent="0.25">
      <c r="A39" s="33"/>
      <c r="B39" s="33"/>
      <c r="C39" s="33"/>
      <c r="D39" s="33"/>
      <c r="E39" s="33"/>
      <c r="G39" s="33"/>
      <c r="H39" s="33"/>
      <c r="I39" s="33"/>
      <c r="J39" s="33"/>
      <c r="K39" s="33"/>
    </row>
    <row r="40" ht="16" customHeight="1" spans="1:11" x14ac:dyDescent="0.25">
      <c r="A40" s="34" t="s">
        <v>47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</row>
  </sheetData>
  <mergeCells count="42">
    <mergeCell ref="A1:K1"/>
    <mergeCell ref="A2:C2"/>
    <mergeCell ref="D2:H3"/>
    <mergeCell ref="I2:K2"/>
    <mergeCell ref="A3:C3"/>
    <mergeCell ref="I3:K3"/>
    <mergeCell ref="A4:C4"/>
    <mergeCell ref="D4:H4"/>
    <mergeCell ref="I4:K4"/>
    <mergeCell ref="A6:F6"/>
    <mergeCell ref="G6:K6"/>
    <mergeCell ref="A7:F7"/>
    <mergeCell ref="G7:K7"/>
    <mergeCell ref="A8:F8"/>
    <mergeCell ref="G8:K8"/>
    <mergeCell ref="A9:F9"/>
    <mergeCell ref="G9:K9"/>
    <mergeCell ref="A10:F10"/>
    <mergeCell ref="G10:K10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H33"/>
    <mergeCell ref="I33:K33"/>
    <mergeCell ref="A35:E35"/>
    <mergeCell ref="G35:K35"/>
    <mergeCell ref="A36:E39"/>
    <mergeCell ref="G36:K39"/>
    <mergeCell ref="A40:K40"/>
  </mergeCells>
  <printOptions horizontalCentered="1"/>
  <pageMargins left="0.3" right="0.3" top="0.4" bottom="0.4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 rightToLeft="1"/>
  </sheetViews>
  <sheetFormatPr defaultRowHeight="15" outlineLevelRow="0" outlineLevelCol="0" x14ac:dyDescent="55"/>
  <cols>
    <col min="1" max="1" width="7" customWidth="1"/>
    <col min="2" max="2" width="14" customWidth="1"/>
    <col min="3" max="3" width="34" customWidth="1"/>
    <col min="4" max="4" width="10" customWidth="1"/>
    <col min="5" max="5" width="11" customWidth="1"/>
    <col min="6" max="6" width="18" customWidth="1"/>
    <col min="7" max="7" width="20" customWidth="1"/>
    <col min="8" max="8" width="16" customWidth="1"/>
    <col min="9" max="9" width="20" customWidth="1"/>
    <col min="10" max="10" width="18" customWidth="1"/>
    <col min="11" max="11" width="22" customWidth="1"/>
  </cols>
  <sheetData>
    <row r="1" ht="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4" t="s">
        <v>48</v>
      </c>
      <c r="J2" s="4"/>
      <c r="K2" s="4"/>
    </row>
    <row r="3" ht="18" customHeight="1" spans="1:11" x14ac:dyDescent="0.25">
      <c r="A3" s="5" t="s">
        <v>3</v>
      </c>
      <c r="B3" s="5"/>
      <c r="C3" s="5"/>
      <c r="D3" s="3"/>
      <c r="E3" s="3"/>
      <c r="F3" s="3"/>
      <c r="G3" s="3"/>
      <c r="H3" s="3"/>
      <c r="I3" s="6" t="s">
        <v>49</v>
      </c>
      <c r="J3" s="6"/>
      <c r="K3" s="6"/>
    </row>
    <row r="4" ht="18" customHeight="1" spans="1:11" x14ac:dyDescent="0.25">
      <c r="A4" s="7" t="s">
        <v>5</v>
      </c>
      <c r="B4" s="7"/>
      <c r="C4" s="7"/>
      <c r="D4" s="8" t="s">
        <v>6</v>
      </c>
      <c r="E4" s="8"/>
      <c r="F4" s="8"/>
      <c r="G4" s="8"/>
      <c r="H4" s="8"/>
      <c r="I4" s="9" t="s">
        <v>7</v>
      </c>
      <c r="J4" s="9"/>
      <c r="K4" s="9"/>
    </row>
    <row r="5" ht="8" customHeight="1" x14ac:dyDescent="0.25"/>
    <row r="6" ht="22" customHeight="1" spans="1:11" x14ac:dyDescent="0.25">
      <c r="A6" s="10" t="s">
        <v>8</v>
      </c>
      <c r="B6" s="10"/>
      <c r="C6" s="10"/>
      <c r="D6" s="10"/>
      <c r="E6" s="10"/>
      <c r="F6" s="10"/>
      <c r="G6" s="10" t="s">
        <v>9</v>
      </c>
      <c r="H6" s="10"/>
      <c r="I6" s="10"/>
      <c r="J6" s="10"/>
      <c r="K6" s="10"/>
    </row>
    <row r="7" ht="19" customHeight="1" spans="1:11" x14ac:dyDescent="0.25">
      <c r="A7" s="11" t="s">
        <v>10</v>
      </c>
      <c r="B7" s="11"/>
      <c r="C7" s="11"/>
      <c r="D7" s="11"/>
      <c r="E7" s="11"/>
      <c r="F7" s="11"/>
      <c r="G7" s="12" t="s">
        <v>50</v>
      </c>
      <c r="H7" s="12"/>
      <c r="I7" s="12"/>
      <c r="J7" s="12"/>
      <c r="K7" s="12"/>
    </row>
    <row r="8" ht="19" customHeight="1" spans="1:11" x14ac:dyDescent="0.25">
      <c r="A8" s="13" t="s">
        <v>12</v>
      </c>
      <c r="B8" s="13"/>
      <c r="C8" s="13"/>
      <c r="D8" s="13"/>
      <c r="E8" s="13"/>
      <c r="F8" s="13"/>
      <c r="G8" s="14" t="s">
        <v>51</v>
      </c>
      <c r="H8" s="14"/>
      <c r="I8" s="14"/>
      <c r="J8" s="14"/>
      <c r="K8" s="14"/>
    </row>
    <row r="9" ht="19" customHeight="1" spans="1:11" x14ac:dyDescent="0.25">
      <c r="A9" s="15" t="s">
        <v>14</v>
      </c>
      <c r="B9" s="15"/>
      <c r="C9" s="15"/>
      <c r="D9" s="15"/>
      <c r="E9" s="15"/>
      <c r="F9" s="15"/>
      <c r="G9" s="16" t="s">
        <v>52</v>
      </c>
      <c r="H9" s="16"/>
      <c r="I9" s="16"/>
      <c r="J9" s="16"/>
      <c r="K9" s="16"/>
    </row>
    <row r="10" ht="19" customHeight="1" spans="1:11" x14ac:dyDescent="0.25">
      <c r="A10" s="17" t="s">
        <v>16</v>
      </c>
      <c r="B10" s="17"/>
      <c r="C10" s="17"/>
      <c r="D10" s="17"/>
      <c r="E10" s="17"/>
      <c r="F10" s="17"/>
      <c r="G10" s="14" t="s">
        <v>53</v>
      </c>
      <c r="H10" s="14"/>
      <c r="I10" s="14"/>
      <c r="J10" s="14"/>
      <c r="K10" s="14"/>
    </row>
    <row r="11" ht="8" customHeight="1" x14ac:dyDescent="0.25"/>
    <row r="12" ht="26" customHeight="1" spans="1:11" x14ac:dyDescent="0.25">
      <c r="A12" s="18" t="s">
        <v>18</v>
      </c>
      <c r="B12" s="18" t="s">
        <v>19</v>
      </c>
      <c r="C12" s="18" t="s">
        <v>20</v>
      </c>
      <c r="D12" s="18" t="s">
        <v>21</v>
      </c>
      <c r="E12" s="18" t="s">
        <v>22</v>
      </c>
      <c r="F12" s="18" t="s">
        <v>23</v>
      </c>
      <c r="G12" s="18" t="s">
        <v>24</v>
      </c>
      <c r="H12" s="18" t="s">
        <v>25</v>
      </c>
      <c r="I12" s="18" t="s">
        <v>26</v>
      </c>
      <c r="J12" s="18" t="s">
        <v>27</v>
      </c>
      <c r="K12" s="18" t="s">
        <v>28</v>
      </c>
    </row>
    <row r="13" ht="21" customHeight="1" spans="1:11" x14ac:dyDescent="0.25">
      <c r="A13" s="19">
        <v>1</v>
      </c>
      <c r="B13" s="19" t="s">
        <v>54</v>
      </c>
      <c r="C13" s="20" t="s">
        <v>55</v>
      </c>
      <c r="D13" s="21">
        <v>2</v>
      </c>
      <c r="E13" s="19" t="s">
        <v>56</v>
      </c>
      <c r="F13" s="22">
        <v>650000000</v>
      </c>
      <c r="G13" s="22">
        <f>IF(OR(D13="",F13=""),"",D13*F13)</f>
        <v>1300000000</v>
      </c>
      <c r="H13" s="22">
        <v>20000000</v>
      </c>
      <c r="I13" s="22">
        <f>IF(G13="","",G13-IF(H13="","",H13))</f>
        <v>1280000000</v>
      </c>
      <c r="J13" s="22">
        <f>IF(I13="","",ROUND(I13*0.1,0))</f>
        <v>128000000</v>
      </c>
      <c r="K13" s="22">
        <f>IF(I13="","",I13+J13)</f>
        <v>1408000000</v>
      </c>
    </row>
    <row r="14" ht="21" customHeight="1" spans="1:11" x14ac:dyDescent="0.25">
      <c r="A14" s="23">
        <v>2</v>
      </c>
      <c r="B14" s="23" t="s">
        <v>57</v>
      </c>
      <c r="C14" s="16" t="s">
        <v>58</v>
      </c>
      <c r="D14" s="24">
        <v>450</v>
      </c>
      <c r="E14" s="23" t="s">
        <v>59</v>
      </c>
      <c r="F14" s="25">
        <v>950000</v>
      </c>
      <c r="G14" s="25">
        <f>IF(OR(D14="",F14=""),"",D14*F14)</f>
        <v>427500000</v>
      </c>
      <c r="H14" s="25">
        <v>0</v>
      </c>
      <c r="I14" s="25">
        <f>IF(G14="","",G14-IF(H14="","",H14))</f>
        <v>427500000</v>
      </c>
      <c r="J14" s="25">
        <f>IF(I14="","",ROUND(I14*0.1,0))</f>
        <v>42750000</v>
      </c>
      <c r="K14" s="25">
        <f>IF(I14="","",I14+J14)</f>
        <v>470250000</v>
      </c>
    </row>
    <row r="15" ht="21" customHeight="1" spans="1:11" x14ac:dyDescent="0.25">
      <c r="A15" s="19">
        <v>3</v>
      </c>
      <c r="B15" s="19" t="s">
        <v>60</v>
      </c>
      <c r="C15" s="20" t="s">
        <v>61</v>
      </c>
      <c r="D15" s="21">
        <v>1</v>
      </c>
      <c r="E15" s="19" t="s">
        <v>56</v>
      </c>
      <c r="F15" s="22">
        <v>340000000</v>
      </c>
      <c r="G15" s="22">
        <f>IF(OR(D15="",F15=""),"",D15*F15)</f>
        <v>340000000</v>
      </c>
      <c r="H15" s="22">
        <v>15000000</v>
      </c>
      <c r="I15" s="22">
        <f>IF(G15="","",G15-IF(H15="","",H15))</f>
        <v>325000000</v>
      </c>
      <c r="J15" s="22">
        <f>IF(I15="","",ROUND(I15*0.1,0))</f>
        <v>32500000</v>
      </c>
      <c r="K15" s="22">
        <f>IF(I15="","",I15+J15)</f>
        <v>357500000</v>
      </c>
    </row>
    <row r="16" ht="21" customHeight="1" spans="1:11" x14ac:dyDescent="0.25">
      <c r="A16" s="23">
        <v>4</v>
      </c>
      <c r="B16" s="23" t="s">
        <v>62</v>
      </c>
      <c r="C16" s="16" t="s">
        <v>63</v>
      </c>
      <c r="D16" s="24">
        <v>8</v>
      </c>
      <c r="E16" s="23" t="s">
        <v>64</v>
      </c>
      <c r="F16" s="25">
        <v>85000000</v>
      </c>
      <c r="G16" s="25">
        <f>IF(OR(D16="",F16=""),"",D16*F16)</f>
        <v>680000000</v>
      </c>
      <c r="H16" s="25">
        <v>20000000</v>
      </c>
      <c r="I16" s="25">
        <f>IF(G16="","",G16-IF(H16="","",H16))</f>
        <v>660000000</v>
      </c>
      <c r="J16" s="25">
        <f>IF(I16="","",ROUND(I16*0.1,0))</f>
        <v>66000000</v>
      </c>
      <c r="K16" s="25">
        <f>IF(I16="","",I16+J16)</f>
        <v>726000000</v>
      </c>
    </row>
    <row r="17" ht="21" customHeight="1" spans="1:11" x14ac:dyDescent="0.25">
      <c r="A17" s="19">
        <v>5</v>
      </c>
      <c r="B17" s="19" t="s">
        <v>65</v>
      </c>
      <c r="C17" s="20" t="s">
        <v>66</v>
      </c>
      <c r="D17" s="21">
        <v>1</v>
      </c>
      <c r="E17" s="19" t="s">
        <v>56</v>
      </c>
      <c r="F17" s="22">
        <v>210000000</v>
      </c>
      <c r="G17" s="22">
        <f>IF(OR(D17="",F17=""),"",D17*F17)</f>
        <v>210000000</v>
      </c>
      <c r="H17" s="22">
        <v>0</v>
      </c>
      <c r="I17" s="22">
        <f>IF(G17="","",G17-IF(H17="","",H17))</f>
        <v>210000000</v>
      </c>
      <c r="J17" s="22">
        <f>IF(I17="","",ROUND(I17*0.1,0))</f>
        <v>21000000</v>
      </c>
      <c r="K17" s="22">
        <f>IF(I17="","",I17+J17)</f>
        <v>231000000</v>
      </c>
    </row>
    <row r="18" ht="21" customHeight="1" spans="1:11" x14ac:dyDescent="0.25">
      <c r="A18" s="23">
        <v>6</v>
      </c>
      <c r="B18" s="23" t="s">
        <v>67</v>
      </c>
      <c r="C18" s="16" t="s">
        <v>68</v>
      </c>
      <c r="D18" s="24">
        <v>24</v>
      </c>
      <c r="E18" s="23" t="s">
        <v>69</v>
      </c>
      <c r="F18" s="25">
        <v>3500000</v>
      </c>
      <c r="G18" s="25">
        <f>IF(OR(D18="",F18=""),"",D18*F18)</f>
        <v>84000000</v>
      </c>
      <c r="H18" s="25">
        <v>4000000</v>
      </c>
      <c r="I18" s="25">
        <f>IF(G18="","",G18-IF(H18="","",H18))</f>
        <v>80000000</v>
      </c>
      <c r="J18" s="25">
        <f>IF(I18="","",ROUND(I18*0.1,0))</f>
        <v>8000000</v>
      </c>
      <c r="K18" s="25">
        <f>IF(I18="","",I18+J18)</f>
        <v>88000000</v>
      </c>
    </row>
    <row r="19" ht="21" customHeight="1" spans="1:11" x14ac:dyDescent="0.25">
      <c r="A19" s="19">
        <v>7</v>
      </c>
      <c r="B19" s="19" t="s">
        <v>70</v>
      </c>
      <c r="C19" s="20" t="s">
        <v>71</v>
      </c>
      <c r="D19" s="21">
        <v>2</v>
      </c>
      <c r="E19" s="19" t="s">
        <v>56</v>
      </c>
      <c r="F19" s="22">
        <v>145000000</v>
      </c>
      <c r="G19" s="22">
        <f>IF(OR(D19="",F19=""),"",D19*F19)</f>
        <v>290000000</v>
      </c>
      <c r="H19" s="22">
        <v>10000000</v>
      </c>
      <c r="I19" s="22">
        <f>IF(G19="","",G19-IF(H19="","",H19))</f>
        <v>280000000</v>
      </c>
      <c r="J19" s="22">
        <f>IF(I19="","",ROUND(I19*0.1,0))</f>
        <v>28000000</v>
      </c>
      <c r="K19" s="22">
        <f>IF(I19="","",I19+J19)</f>
        <v>308000000</v>
      </c>
    </row>
    <row r="20" ht="21" customHeight="1" spans="1:11" x14ac:dyDescent="0.25">
      <c r="A20" s="23">
        <v>8</v>
      </c>
      <c r="B20" s="23" t="s">
        <v>72</v>
      </c>
      <c r="C20" s="16" t="s">
        <v>73</v>
      </c>
      <c r="D20" s="24">
        <v>1</v>
      </c>
      <c r="E20" s="23" t="s">
        <v>74</v>
      </c>
      <c r="F20" s="25">
        <v>580000000</v>
      </c>
      <c r="G20" s="25">
        <f>IF(OR(D20="",F20=""),"",D20*F20)</f>
        <v>580000000</v>
      </c>
      <c r="H20" s="25">
        <v>30000000</v>
      </c>
      <c r="I20" s="25">
        <f>IF(G20="","",G20-IF(H20="","",H20))</f>
        <v>550000000</v>
      </c>
      <c r="J20" s="25">
        <f>IF(I20="","",ROUND(I20*0.1,0))</f>
        <v>55000000</v>
      </c>
      <c r="K20" s="25">
        <f>IF(I20="","",I20+J20)</f>
        <v>605000000</v>
      </c>
    </row>
    <row r="21" ht="21" customHeight="1" spans="1:11" x14ac:dyDescent="0.25">
      <c r="A21" s="19">
        <v>9</v>
      </c>
      <c r="B21" s="19" t="s">
        <v>75</v>
      </c>
      <c r="C21" s="20" t="s">
        <v>76</v>
      </c>
      <c r="D21" s="21">
        <v>1</v>
      </c>
      <c r="E21" s="19" t="s">
        <v>77</v>
      </c>
      <c r="F21" s="22">
        <v>220000000</v>
      </c>
      <c r="G21" s="22">
        <f>IF(OR(D21="",F21=""),"",D21*F21)</f>
        <v>220000000</v>
      </c>
      <c r="H21" s="22">
        <v>0</v>
      </c>
      <c r="I21" s="22">
        <f>IF(G21="","",G21-IF(H21="","",H21))</f>
        <v>220000000</v>
      </c>
      <c r="J21" s="22">
        <f>IF(I21="","",ROUND(I21*0.1,0))</f>
        <v>22000000</v>
      </c>
      <c r="K21" s="22">
        <f>IF(I21="","",I21+J21)</f>
        <v>242000000</v>
      </c>
    </row>
    <row r="22" ht="21" customHeight="1" spans="1:11" x14ac:dyDescent="0.25">
      <c r="A22" s="23">
        <v>10</v>
      </c>
      <c r="B22" s="23" t="s">
        <v>78</v>
      </c>
      <c r="C22" s="16" t="s">
        <v>79</v>
      </c>
      <c r="D22" s="24">
        <v>1</v>
      </c>
      <c r="E22" s="23" t="s">
        <v>80</v>
      </c>
      <c r="F22" s="25">
        <v>175000000</v>
      </c>
      <c r="G22" s="25">
        <f>IF(OR(D22="",F22=""),"",D22*F22)</f>
        <v>175000000</v>
      </c>
      <c r="H22" s="25">
        <v>15000000</v>
      </c>
      <c r="I22" s="25">
        <f>IF(G22="","",G22-IF(H22="","",H22))</f>
        <v>160000000</v>
      </c>
      <c r="J22" s="25">
        <f>IF(I22="","",ROUND(I22*0.1,0))</f>
        <v>16000000</v>
      </c>
      <c r="K22" s="25">
        <f>IF(I22="","",I22+J22)</f>
        <v>176000000</v>
      </c>
    </row>
    <row r="23" ht="21" customHeight="1" spans="1:11" x14ac:dyDescent="0.25">
      <c r="A23" s="19">
        <v>11</v>
      </c>
      <c r="B23" s="19" t="s">
        <v>29</v>
      </c>
      <c r="C23" s="20" t="s">
        <v>29</v>
      </c>
      <c r="D23" s="21" t="s">
        <v>29</v>
      </c>
      <c r="E23" s="19" t="s">
        <v>29</v>
      </c>
      <c r="F23" s="22" t="s">
        <v>29</v>
      </c>
      <c r="G23" s="22">
        <f>IF(OR(D23="",F23=""),"",D23*F23)</f>
      </c>
      <c r="H23" s="22" t="s">
        <v>29</v>
      </c>
      <c r="I23" s="22">
        <f>IF(G23="","",G23-IF(H23="","",H23))</f>
      </c>
      <c r="J23" s="22">
        <f>IF(I23="","",ROUND(I23*0.1,0))</f>
      </c>
      <c r="K23" s="22">
        <f>IF(I23="","",I23+J23)</f>
      </c>
    </row>
    <row r="24" ht="21" customHeight="1" spans="1:11" x14ac:dyDescent="0.25">
      <c r="A24" s="23">
        <v>12</v>
      </c>
      <c r="B24" s="23" t="s">
        <v>29</v>
      </c>
      <c r="C24" s="16" t="s">
        <v>29</v>
      </c>
      <c r="D24" s="24" t="s">
        <v>29</v>
      </c>
      <c r="E24" s="23" t="s">
        <v>29</v>
      </c>
      <c r="F24" s="25" t="s">
        <v>29</v>
      </c>
      <c r="G24" s="25">
        <f>IF(OR(D24="",F24=""),"",D24*F24)</f>
      </c>
      <c r="H24" s="25" t="s">
        <v>29</v>
      </c>
      <c r="I24" s="25">
        <f>IF(G24="","",G24-IF(H24="","",H24))</f>
      </c>
      <c r="J24" s="25">
        <f>IF(I24="","",ROUND(I24*0.1,0))</f>
      </c>
      <c r="K24" s="25">
        <f>IF(I24="","",I24+J24)</f>
      </c>
    </row>
    <row r="25" ht="21" customHeight="1" spans="1:11" x14ac:dyDescent="0.25">
      <c r="A25" s="19">
        <v>13</v>
      </c>
      <c r="B25" s="19" t="s">
        <v>29</v>
      </c>
      <c r="C25" s="20" t="s">
        <v>29</v>
      </c>
      <c r="D25" s="21" t="s">
        <v>29</v>
      </c>
      <c r="E25" s="19" t="s">
        <v>29</v>
      </c>
      <c r="F25" s="22" t="s">
        <v>29</v>
      </c>
      <c r="G25" s="22">
        <f>IF(OR(D25="",F25=""),"",D25*F25)</f>
      </c>
      <c r="H25" s="22" t="s">
        <v>29</v>
      </c>
      <c r="I25" s="22">
        <f>IF(G25="","",G25-IF(H25="","",H25))</f>
      </c>
      <c r="J25" s="22">
        <f>IF(I25="","",ROUND(I25*0.1,0))</f>
      </c>
      <c r="K25" s="22">
        <f>IF(I25="","",I25+J25)</f>
      </c>
    </row>
    <row r="26" ht="21" customHeight="1" spans="1:11" x14ac:dyDescent="0.25">
      <c r="A26" s="23">
        <v>14</v>
      </c>
      <c r="B26" s="23" t="s">
        <v>29</v>
      </c>
      <c r="C26" s="16" t="s">
        <v>29</v>
      </c>
      <c r="D26" s="24" t="s">
        <v>29</v>
      </c>
      <c r="E26" s="23" t="s">
        <v>29</v>
      </c>
      <c r="F26" s="25" t="s">
        <v>29</v>
      </c>
      <c r="G26" s="25">
        <f>IF(OR(D26="",F26=""),"",D26*F26)</f>
      </c>
      <c r="H26" s="25" t="s">
        <v>29</v>
      </c>
      <c r="I26" s="25">
        <f>IF(G26="","",G26-IF(H26="","",H26))</f>
      </c>
      <c r="J26" s="25">
        <f>IF(I26="","",ROUND(I26*0.1,0))</f>
      </c>
      <c r="K26" s="25">
        <f>IF(I26="","",I26+J26)</f>
      </c>
    </row>
    <row r="27" ht="21" customHeight="1" spans="1:11" x14ac:dyDescent="0.25">
      <c r="A27" s="19">
        <v>15</v>
      </c>
      <c r="B27" s="19" t="s">
        <v>29</v>
      </c>
      <c r="C27" s="20" t="s">
        <v>29</v>
      </c>
      <c r="D27" s="21" t="s">
        <v>29</v>
      </c>
      <c r="E27" s="19" t="s">
        <v>29</v>
      </c>
      <c r="F27" s="22" t="s">
        <v>29</v>
      </c>
      <c r="G27" s="22">
        <f>IF(OR(D27="",F27=""),"",D27*F27)</f>
      </c>
      <c r="H27" s="22" t="s">
        <v>29</v>
      </c>
      <c r="I27" s="22">
        <f>IF(G27="","",G27-IF(H27="","",H27))</f>
      </c>
      <c r="J27" s="22">
        <f>IF(I27="","",ROUND(I27*0.1,0))</f>
      </c>
      <c r="K27" s="22">
        <f>IF(I27="","",I27+J27)</f>
      </c>
    </row>
    <row r="28" ht="20" customHeight="1" spans="1:11" x14ac:dyDescent="0.25">
      <c r="A28" s="26" t="s">
        <v>30</v>
      </c>
      <c r="B28" s="26"/>
      <c r="C28" s="26"/>
      <c r="D28" s="26"/>
      <c r="E28" s="26"/>
      <c r="F28" s="26"/>
      <c r="G28" s="27" t="s">
        <v>31</v>
      </c>
      <c r="H28" s="27"/>
      <c r="I28" s="27"/>
      <c r="J28" s="28">
        <f>=SUM(G13:G27)</f>
      </c>
      <c r="K28" s="28"/>
    </row>
    <row r="29" ht="20" customHeight="1" spans="1:11" x14ac:dyDescent="0.25">
      <c r="A29" s="29" t="s">
        <v>32</v>
      </c>
      <c r="B29" s="29"/>
      <c r="C29" s="29"/>
      <c r="D29" s="29"/>
      <c r="E29" s="29"/>
      <c r="F29" s="29"/>
      <c r="G29" s="27" t="s">
        <v>33</v>
      </c>
      <c r="H29" s="27"/>
      <c r="I29" s="27"/>
      <c r="J29" s="28">
        <f>=SUM(H13:H27)</f>
      </c>
      <c r="K29" s="28"/>
    </row>
    <row r="30" ht="20" customHeight="1" spans="1:11" x14ac:dyDescent="0.25">
      <c r="A30" s="29" t="s">
        <v>34</v>
      </c>
      <c r="B30" s="29"/>
      <c r="C30" s="29"/>
      <c r="D30" s="29"/>
      <c r="E30" s="29"/>
      <c r="F30" s="29"/>
      <c r="G30" s="27" t="s">
        <v>35</v>
      </c>
      <c r="H30" s="27"/>
      <c r="I30" s="27"/>
      <c r="J30" s="28">
        <f>=SUM(I13:I27)</f>
      </c>
      <c r="K30" s="28"/>
    </row>
    <row r="31" ht="20" customHeight="1" spans="1:11" x14ac:dyDescent="0.25">
      <c r="A31" s="29" t="s">
        <v>36</v>
      </c>
      <c r="B31" s="29"/>
      <c r="C31" s="29"/>
      <c r="D31" s="29"/>
      <c r="E31" s="29"/>
      <c r="F31" s="29"/>
      <c r="G31" s="27" t="s">
        <v>37</v>
      </c>
      <c r="H31" s="27"/>
      <c r="I31" s="27"/>
      <c r="J31" s="28">
        <f>=SUM(J13:J27)</f>
      </c>
      <c r="K31" s="28"/>
    </row>
    <row r="32" ht="24" customHeight="1" spans="1:11" x14ac:dyDescent="0.25">
      <c r="A32" s="29" t="s">
        <v>38</v>
      </c>
      <c r="B32" s="29"/>
      <c r="C32" s="29"/>
      <c r="D32" s="29"/>
      <c r="E32" s="29"/>
      <c r="F32" s="29"/>
      <c r="G32" s="30" t="s">
        <v>39</v>
      </c>
      <c r="H32" s="30"/>
      <c r="I32" s="30"/>
      <c r="J32" s="31">
        <f>=SUM(K13:K27)</f>
      </c>
      <c r="K32" s="31"/>
    </row>
    <row r="33" ht="20" customHeight="1" spans="1:11" x14ac:dyDescent="0.25">
      <c r="A33" s="29" t="s">
        <v>40</v>
      </c>
      <c r="B33" s="29"/>
      <c r="C33" s="29"/>
      <c r="D33" s="29"/>
      <c r="E33" s="29"/>
      <c r="F33" s="29"/>
      <c r="G33" s="27" t="s">
        <v>41</v>
      </c>
      <c r="H33" s="27"/>
      <c r="I33" s="32" t="s">
        <v>81</v>
      </c>
      <c r="J33" s="32"/>
      <c r="K33" s="32"/>
    </row>
    <row r="34" ht="10" customHeight="1" x14ac:dyDescent="0.25"/>
    <row r="35" ht="20" customHeight="1" spans="1:11" x14ac:dyDescent="0.25">
      <c r="A35" s="26" t="s">
        <v>43</v>
      </c>
      <c r="B35" s="26"/>
      <c r="C35" s="26"/>
      <c r="D35" s="26"/>
      <c r="E35" s="26"/>
      <c r="G35" s="26" t="s">
        <v>44</v>
      </c>
      <c r="H35" s="26"/>
      <c r="I35" s="26"/>
      <c r="J35" s="26"/>
      <c r="K35" s="26"/>
    </row>
    <row r="36" ht="18" customHeight="1" spans="1:11" x14ac:dyDescent="0.25">
      <c r="A36" s="33" t="s">
        <v>45</v>
      </c>
      <c r="B36" s="33"/>
      <c r="C36" s="33"/>
      <c r="D36" s="33"/>
      <c r="E36" s="33"/>
      <c r="G36" s="33" t="s">
        <v>46</v>
      </c>
      <c r="H36" s="33"/>
      <c r="I36" s="33"/>
      <c r="J36" s="33"/>
      <c r="K36" s="33"/>
    </row>
    <row r="37" ht="18" customHeight="1" spans="1:11" x14ac:dyDescent="0.25">
      <c r="A37" s="33"/>
      <c r="B37" s="33"/>
      <c r="C37" s="33"/>
      <c r="D37" s="33"/>
      <c r="E37" s="33"/>
      <c r="G37" s="33"/>
      <c r="H37" s="33"/>
      <c r="I37" s="33"/>
      <c r="J37" s="33"/>
      <c r="K37" s="33"/>
    </row>
    <row r="38" ht="18" customHeight="1" spans="1:11" x14ac:dyDescent="0.25">
      <c r="A38" s="33"/>
      <c r="B38" s="33"/>
      <c r="C38" s="33"/>
      <c r="D38" s="33"/>
      <c r="E38" s="33"/>
      <c r="G38" s="33"/>
      <c r="H38" s="33"/>
      <c r="I38" s="33"/>
      <c r="J38" s="33"/>
      <c r="K38" s="33"/>
    </row>
    <row r="39" ht="18" customHeight="1" spans="1:11" x14ac:dyDescent="0.25">
      <c r="A39" s="33"/>
      <c r="B39" s="33"/>
      <c r="C39" s="33"/>
      <c r="D39" s="33"/>
      <c r="E39" s="33"/>
      <c r="G39" s="33"/>
      <c r="H39" s="33"/>
      <c r="I39" s="33"/>
      <c r="J39" s="33"/>
      <c r="K39" s="33"/>
    </row>
    <row r="40" ht="16" customHeight="1" spans="1:11" x14ac:dyDescent="0.25">
      <c r="A40" s="34" t="s">
        <v>47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</row>
  </sheetData>
  <mergeCells count="42">
    <mergeCell ref="A1:K1"/>
    <mergeCell ref="A2:C2"/>
    <mergeCell ref="D2:H3"/>
    <mergeCell ref="I2:K2"/>
    <mergeCell ref="A3:C3"/>
    <mergeCell ref="I3:K3"/>
    <mergeCell ref="A4:C4"/>
    <mergeCell ref="D4:H4"/>
    <mergeCell ref="I4:K4"/>
    <mergeCell ref="A6:F6"/>
    <mergeCell ref="G6:K6"/>
    <mergeCell ref="A7:F7"/>
    <mergeCell ref="G7:K7"/>
    <mergeCell ref="A8:F8"/>
    <mergeCell ref="G8:K8"/>
    <mergeCell ref="A9:F9"/>
    <mergeCell ref="G9:K9"/>
    <mergeCell ref="A10:F10"/>
    <mergeCell ref="G10:K10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H33"/>
    <mergeCell ref="I33:K33"/>
    <mergeCell ref="A35:E35"/>
    <mergeCell ref="G35:K35"/>
    <mergeCell ref="A36:E39"/>
    <mergeCell ref="G36:K39"/>
    <mergeCell ref="A40:K40"/>
  </mergeCells>
  <printOptions horizontalCentered="1"/>
  <pageMargins left="0.3" right="0.3" top="0.4" bottom="0.4" header="0.2" footer="0.2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پیش‌فاکتور خام (قالب اصلی)</vt:lpstr>
      <vt:lpstr>نمونه پرشده (راهنما)</vt:lpstr>
    </vt:vector>
  </TitlesOfParts>
  <Company>Novand Integrated Technology &amp; Infrastructure Solutions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شرکت مهندسی نُوَند (Novand)</dc:creator>
  <dc:title/>
  <dc:subject/>
  <dc:description/>
  <cp:keywords/>
  <cp:category/>
  <cp:lastModifiedBy>مهندسی نُوَند</cp:lastModifiedBy>
  <dcterms:created xsi:type="dcterms:W3CDTF">2026-10-02T14:12:27Z</dcterms:created>
  <dcterms:modified xsi:type="dcterms:W3CDTF">2026-10-02T14:12:27Z</dcterms:modified>
</cp:coreProperties>
</file>